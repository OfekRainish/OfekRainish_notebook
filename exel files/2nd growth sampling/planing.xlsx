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ty of Haifa\Documents\HAIFA\research\ניסוי דגימות 2\"/>
    </mc:Choice>
  </mc:AlternateContent>
  <xr:revisionPtr revIDLastSave="0" documentId="13_ncr:1_{6D916B6A-FA61-4C71-BC95-57ED8C8CFA44}" xr6:coauthVersionLast="47" xr6:coauthVersionMax="47" xr10:uidLastSave="{00000000-0000-0000-0000-000000000000}"/>
  <bookViews>
    <workbookView xWindow="-108" yWindow="-108" windowWidth="23256" windowHeight="12456" xr2:uid="{18BFCB29-7C0D-451D-9E11-FB6674AA9D7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X6" i="1"/>
  <c r="W6" i="1"/>
  <c r="Y5" i="1"/>
  <c r="X5" i="1"/>
  <c r="W5" i="1"/>
  <c r="Y4" i="1"/>
  <c r="X4" i="1"/>
  <c r="W4" i="1"/>
  <c r="V6" i="1"/>
  <c r="U6" i="1"/>
  <c r="T6" i="1"/>
  <c r="V5" i="1"/>
  <c r="U5" i="1"/>
  <c r="T5" i="1"/>
  <c r="V4" i="1"/>
  <c r="U4" i="1"/>
  <c r="T4" i="1"/>
  <c r="P6" i="1"/>
  <c r="O6" i="1"/>
  <c r="N6" i="1"/>
  <c r="M6" i="1"/>
  <c r="L6" i="1"/>
  <c r="K6" i="1"/>
  <c r="J6" i="1"/>
  <c r="I6" i="1"/>
  <c r="H6" i="1"/>
  <c r="G6" i="1"/>
  <c r="P5" i="1"/>
  <c r="O5" i="1"/>
  <c r="N5" i="1"/>
  <c r="M5" i="1"/>
  <c r="L5" i="1"/>
  <c r="K5" i="1"/>
  <c r="J5" i="1"/>
  <c r="I5" i="1"/>
  <c r="H5" i="1"/>
  <c r="G5" i="1"/>
  <c r="P4" i="1"/>
  <c r="O4" i="1"/>
  <c r="N4" i="1"/>
  <c r="M4" i="1"/>
  <c r="L4" i="1"/>
  <c r="K4" i="1"/>
  <c r="J4" i="1"/>
  <c r="I4" i="1"/>
  <c r="H4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A396BAA4-55DF-439E-AE62-4494FF85381B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נמהל פי 8 עם 
OD התחלתי של 0.3..
כדי להגיע לOD
של בערך 0.127</t>
        </r>
      </text>
    </comment>
  </commentList>
</comments>
</file>

<file path=xl/sharedStrings.xml><?xml version="1.0" encoding="utf-8"?>
<sst xmlns="http://schemas.openxmlformats.org/spreadsheetml/2006/main" count="64" uniqueCount="37">
  <si>
    <t>Time</t>
  </si>
  <si>
    <t>time</t>
  </si>
  <si>
    <t>LB avr</t>
  </si>
  <si>
    <t>LB sd</t>
  </si>
  <si>
    <t>Monday 8.12.25</t>
  </si>
  <si>
    <t>tusday  9.12.25</t>
  </si>
  <si>
    <t>with surfactin</t>
  </si>
  <si>
    <t>without surfactin</t>
  </si>
  <si>
    <t>LB</t>
  </si>
  <si>
    <t>avr</t>
  </si>
  <si>
    <t>SD</t>
  </si>
  <si>
    <t>3 שעות</t>
  </si>
  <si>
    <t>סמינר</t>
  </si>
  <si>
    <t>מכין 30 מבחנות נושמות 4500 מיקרוליטר כל אחת.ומכין את המבחנות (15) של סרפקטין ועוד 18 מבחנות LB. ברק יכול אולי לתזכר אותי על הפלייט רידר.</t>
  </si>
  <si>
    <t>משלב את הסטרטרים בפלקון 50 ומשלים ל 5 מ"ל ל-30 מבחנות</t>
  </si>
  <si>
    <t>מעביר את התוכן של המבחנות לפלקון 50 ומוהל ל-0.1 OD</t>
  </si>
  <si>
    <t>כותב את התזה ולומד לTOEFL</t>
  </si>
  <si>
    <t>מעמיד ניסוי - התחלה (20:00)</t>
  </si>
  <si>
    <t>דגימה ראשונה (22:00)</t>
  </si>
  <si>
    <t>דגימה שניה (8:00)</t>
  </si>
  <si>
    <t>דגימה שלישית (20:00)</t>
  </si>
  <si>
    <t>avg per sample</t>
  </si>
  <si>
    <t>A</t>
  </si>
  <si>
    <t>B</t>
  </si>
  <si>
    <t>C</t>
  </si>
  <si>
    <t>D</t>
  </si>
  <si>
    <t>E</t>
  </si>
  <si>
    <t>F</t>
  </si>
  <si>
    <t>G</t>
  </si>
  <si>
    <t>H</t>
  </si>
  <si>
    <t>with surf</t>
  </si>
  <si>
    <t>no surf</t>
  </si>
  <si>
    <t>LB control</t>
  </si>
  <si>
    <t>2 hr mesurments</t>
  </si>
  <si>
    <t>12 hr mesurments</t>
  </si>
  <si>
    <t>24 hr mesurments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</si>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</sst>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0"/>
      <color rgb="FF27413E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9" borderId="4" xfId="0" applyFill="1" applyBorder="1" applyAlignment="1">
      <alignment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0" fillId="8" borderId="0" xfId="0" applyFill="1"/>
    <xf numFmtId="0" fontId="6" fillId="22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21" borderId="4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8" borderId="6" xfId="0" applyFill="1" applyBorder="1"/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15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8" fillId="15" borderId="15" xfId="0" applyFont="1" applyFill="1" applyBorder="1" applyAlignment="1">
      <alignment horizontal="center" vertical="center" wrapText="1"/>
    </xf>
    <xf numFmtId="0" fontId="8" fillId="15" borderId="16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Curve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גיליון1!$F$4:$F$6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גיליון1!$T$4:$T$6</c:f>
              <c:numCache>
                <c:formatCode>General</c:formatCode>
                <c:ptCount val="3"/>
                <c:pt idx="0">
                  <c:v>0.14026666666666668</c:v>
                </c:pt>
                <c:pt idx="1">
                  <c:v>0.17924999999999999</c:v>
                </c:pt>
                <c:pt idx="2">
                  <c:v>0.51073333333333337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A-44C4-A793-121E87D8231F}"/>
            </c:ext>
          </c:extLst>
        </c:ser>
        <c:ser>
          <c:idx val="1"/>
          <c:order val="1"/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גיליון1!$F$4:$F$6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גיליון1!$U$4:$U$6</c:f>
              <c:numCache>
                <c:formatCode>General</c:formatCode>
                <c:ptCount val="3"/>
                <c:pt idx="0">
                  <c:v>0.19246666666666667</c:v>
                </c:pt>
                <c:pt idx="1">
                  <c:v>0.60420000000000007</c:v>
                </c:pt>
                <c:pt idx="2">
                  <c:v>0.71544444444444444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A-44C4-A793-121E87D8231F}"/>
            </c:ext>
          </c:extLst>
        </c:ser>
        <c:ser>
          <c:idx val="2"/>
          <c:order val="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גיליון1!$F$4:$F$6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24</c:v>
                </c:pt>
              </c:numCache>
            </c:numRef>
          </c:xVal>
          <c:yVal>
            <c:numRef>
              <c:f>גיליון1!$V$4:$V$6</c:f>
              <c:numCache>
                <c:formatCode>General</c:formatCode>
                <c:ptCount val="3"/>
                <c:pt idx="0">
                  <c:v>0.11033333333333334</c:v>
                </c:pt>
                <c:pt idx="1">
                  <c:v>8.900000000000001E-2</c:v>
                </c:pt>
                <c:pt idx="2">
                  <c:v>9.2000000000000012E-2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4A-44C4-A793-121E87D82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625184"/>
        <c:axId val="1187617504"/>
      </c:scatterChart>
      <c:valAx>
        <c:axId val="118762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(hr)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17504"/>
        <c:crosses val="autoZero"/>
        <c:crossBetween val="midCat"/>
      </c:valAx>
      <c:valAx>
        <c:axId val="1187617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 </a:t>
                </a:r>
                <a:r>
                  <a:rPr lang="en-US"/>
                  <a:t>OD 600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2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488575</xdr:colOff>
      <xdr:row>7</xdr:row>
      <xdr:rowOff>179292</xdr:rowOff>
    </xdr:from>
    <xdr:to>
      <xdr:col>26</xdr:col>
      <xdr:colOff>394447</xdr:colOff>
      <xdr:row>27</xdr:row>
      <xdr:rowOff>53787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D13E5FBA-ECE7-2FCD-2822-8EE4D1B0D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0.11723</cdr:x>
      <cdr:y>0.12953</cdr:y>
    </cdr:from>
    <cdr:to>
      <cdr:x>0.41149</cdr:x>
      <cdr:y>0.33161</cdr:y>
    </cdr:to>
    <cdr:sp macro="" textlink="">
      <cdr:nvSpPr>
        <cdr:cNvPr id="2" name="תיבת טקסט 1">
          <a:extLst xmlns:a="http://schemas.openxmlformats.org/drawingml/2006/main">
            <a:ext uri="{FF2B5EF4-FFF2-40B4-BE49-F238E27FC236}">
              <a16:creationId xmlns:a16="http://schemas.microsoft.com/office/drawing/2014/main" id="{0BA96530-EEFC-3816-32AB-3BC16203CFBD}"/>
            </a:ext>
          </a:extLst>
        </cdr:cNvPr>
        <cdr:cNvSpPr txBox="1"/>
      </cdr:nvSpPr>
      <cdr:spPr>
        <a:xfrm xmlns:a="http://schemas.openxmlformats.org/drawingml/2006/main">
          <a:off x="667873" y="448236"/>
          <a:ext cx="1676400" cy="699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 kern="1200">
              <a:solidFill>
                <a:srgbClr val="FFC000"/>
              </a:solidFill>
            </a:rPr>
            <a:t>With</a:t>
          </a:r>
          <a:r>
            <a:rPr lang="en-US" sz="1200" b="1" kern="1200" baseline="0">
              <a:solidFill>
                <a:srgbClr val="FFC000"/>
              </a:solidFill>
            </a:rPr>
            <a:t> surfactin </a:t>
          </a:r>
        </a:p>
        <a:p xmlns:a="http://schemas.openxmlformats.org/drawingml/2006/main">
          <a:r>
            <a:rPr lang="en-US" sz="1200" b="1" kern="1200" baseline="0">
              <a:solidFill>
                <a:srgbClr val="002060"/>
              </a:solidFill>
            </a:rPr>
            <a:t>without surfactin</a:t>
          </a:r>
        </a:p>
        <a:p xmlns:a="http://schemas.openxmlformats.org/drawingml/2006/main">
          <a:r>
            <a:rPr lang="en-US" sz="1200" b="1" kern="1200" baseline="0">
              <a:solidFill>
                <a:schemeClr val="accent3"/>
              </a:solidFill>
            </a:rPr>
            <a:t>LB negative control</a:t>
          </a:r>
          <a:endParaRPr lang="en-US" sz="1200" b="1" kern="1200">
            <a:solidFill>
              <a:schemeClr val="accent3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93E5-FF15-4B9C-B554-8E9972E927F4}">
  <dimension ref="A1:Y43"/>
  <sheetViews>
    <sheetView tabSelected="1" topLeftCell="I1" zoomScale="85" zoomScaleNormal="85" workbookViewId="0">
      <selection activeCell="AF9" sqref="AF9"/>
    </sheetView>
  </sheetViews>
  <sheetFormatPr defaultRowHeight="14.4" x14ac:dyDescent="0.3"/>
  <cols>
    <col min="2" max="2" width="86.33203125" customWidth="1"/>
    <col min="3" max="3" width="79.44140625" bestFit="1" customWidth="1"/>
    <col min="23" max="25" width="13.33203125" bestFit="1" customWidth="1"/>
  </cols>
  <sheetData>
    <row r="1" spans="1:25" ht="18.600000000000001" thickBot="1" x14ac:dyDescent="0.4">
      <c r="A1" s="1" t="s">
        <v>0</v>
      </c>
      <c r="B1" s="2" t="s">
        <v>4</v>
      </c>
      <c r="C1" s="2" t="s">
        <v>5</v>
      </c>
      <c r="F1" s="32"/>
      <c r="G1" s="13" t="s">
        <v>21</v>
      </c>
      <c r="H1" s="13"/>
      <c r="I1" s="13"/>
      <c r="J1" s="13"/>
      <c r="K1" s="13"/>
      <c r="L1" s="13"/>
      <c r="M1" s="13"/>
      <c r="N1" s="13"/>
      <c r="O1" s="13"/>
      <c r="P1" s="13"/>
      <c r="Q1" s="32"/>
      <c r="R1" s="32"/>
      <c r="S1" s="32"/>
      <c r="T1" s="32"/>
      <c r="U1" s="32"/>
      <c r="V1" s="32"/>
      <c r="W1" s="32"/>
      <c r="X1" s="32"/>
      <c r="Y1" s="32"/>
    </row>
    <row r="2" spans="1:25" x14ac:dyDescent="0.3">
      <c r="A2" s="4">
        <v>0.29166666666666669</v>
      </c>
      <c r="B2" s="5"/>
      <c r="C2" s="6"/>
      <c r="F2" s="44"/>
      <c r="G2" s="47" t="s">
        <v>6</v>
      </c>
      <c r="H2" s="48"/>
      <c r="I2" s="48"/>
      <c r="J2" s="48"/>
      <c r="K2" s="48"/>
      <c r="L2" s="48" t="s">
        <v>7</v>
      </c>
      <c r="M2" s="48"/>
      <c r="N2" s="48"/>
      <c r="O2" s="48"/>
      <c r="P2" s="48"/>
      <c r="Q2" s="48" t="s">
        <v>8</v>
      </c>
      <c r="R2" s="48"/>
      <c r="S2" s="49"/>
      <c r="T2" s="47" t="s">
        <v>9</v>
      </c>
      <c r="U2" s="48"/>
      <c r="V2" s="49"/>
      <c r="W2" s="47" t="s">
        <v>10</v>
      </c>
      <c r="X2" s="48"/>
      <c r="Y2" s="49"/>
    </row>
    <row r="3" spans="1:25" x14ac:dyDescent="0.3">
      <c r="A3" s="4">
        <v>0.33333333333333298</v>
      </c>
      <c r="B3" s="5"/>
      <c r="C3" s="6" t="s">
        <v>19</v>
      </c>
      <c r="F3" s="45" t="s">
        <v>1</v>
      </c>
      <c r="G3" s="50">
        <v>1</v>
      </c>
      <c r="H3" s="8">
        <v>2</v>
      </c>
      <c r="I3" s="8">
        <v>3</v>
      </c>
      <c r="J3" s="8">
        <v>4</v>
      </c>
      <c r="K3" s="8">
        <v>5</v>
      </c>
      <c r="L3" s="3">
        <v>1</v>
      </c>
      <c r="M3" s="3">
        <v>2</v>
      </c>
      <c r="N3" s="3">
        <v>3</v>
      </c>
      <c r="O3" s="3">
        <v>4</v>
      </c>
      <c r="P3" s="3">
        <v>5</v>
      </c>
      <c r="Q3" s="12">
        <v>1</v>
      </c>
      <c r="R3" s="12">
        <v>2</v>
      </c>
      <c r="S3" s="51">
        <v>3</v>
      </c>
      <c r="T3" s="50" t="s">
        <v>30</v>
      </c>
      <c r="U3" s="3" t="s">
        <v>36</v>
      </c>
      <c r="V3" s="51" t="s">
        <v>2</v>
      </c>
      <c r="W3" s="50" t="s">
        <v>30</v>
      </c>
      <c r="X3" s="3" t="s">
        <v>36</v>
      </c>
      <c r="Y3" s="51" t="s">
        <v>3</v>
      </c>
    </row>
    <row r="4" spans="1:25" x14ac:dyDescent="0.3">
      <c r="A4" s="4">
        <v>0.375</v>
      </c>
      <c r="B4" s="16" t="s">
        <v>13</v>
      </c>
      <c r="C4" s="5"/>
      <c r="F4" s="46">
        <v>2</v>
      </c>
      <c r="G4" s="52">
        <f>AVERAGE(G12:I12)</f>
        <v>0.12866666666666668</v>
      </c>
      <c r="H4" s="5">
        <f>AVERAGE(G13:I13)</f>
        <v>0.16600000000000001</v>
      </c>
      <c r="I4" s="5">
        <f>AVERAGE(G14:I14)</f>
        <v>0.14000000000000001</v>
      </c>
      <c r="J4" s="5">
        <f>AVERAGE(G15:I15)</f>
        <v>0.13833333333333334</v>
      </c>
      <c r="K4" s="5">
        <f>AVERAGE(G16:I16)</f>
        <v>0.12833333333333333</v>
      </c>
      <c r="L4" s="5">
        <f>AVERAGE(K12:M12)</f>
        <v>0.21333333333333335</v>
      </c>
      <c r="M4" s="5">
        <f>AVERAGE(K13:M13)</f>
        <v>0.16466666666666666</v>
      </c>
      <c r="N4" s="5">
        <f>AVERAGE(K14:M14)</f>
        <v>0.21166666666666667</v>
      </c>
      <c r="O4" s="5">
        <f>AVERAGE(K15:M15)</f>
        <v>0.19400000000000003</v>
      </c>
      <c r="P4" s="5">
        <f>AVERAGE(K16:M16)</f>
        <v>0.17866666666666667</v>
      </c>
      <c r="Q4" s="24">
        <v>0.111</v>
      </c>
      <c r="R4" s="24">
        <v>0.113</v>
      </c>
      <c r="S4" s="53">
        <v>0.107</v>
      </c>
      <c r="T4" s="52">
        <f>AVERAGE(G4:K4)</f>
        <v>0.14026666666666668</v>
      </c>
      <c r="U4" s="5">
        <f>AVERAGE(L4:P4)</f>
        <v>0.19246666666666667</v>
      </c>
      <c r="V4" s="59">
        <f>AVERAGE(Q4:S4)</f>
        <v>0.11033333333333334</v>
      </c>
      <c r="W4" s="61">
        <f>_xlfn.STDEV.S(G4:K4)</f>
        <v>1.5353971617937964E-2</v>
      </c>
      <c r="X4" s="6">
        <f>_xlfn.STDEV.S(L4:P4)</f>
        <v>2.1033835176263567E-2</v>
      </c>
      <c r="Y4" s="62">
        <f>_xlfn.STDEV.S(Q4:S4)</f>
        <v>3.0550504633038962E-3</v>
      </c>
    </row>
    <row r="5" spans="1:25" x14ac:dyDescent="0.3">
      <c r="A5" s="4">
        <v>0.41666666666666702</v>
      </c>
      <c r="B5" s="16"/>
      <c r="C5" s="15" t="s">
        <v>16</v>
      </c>
      <c r="F5" s="46">
        <v>12</v>
      </c>
      <c r="G5" s="52">
        <f>AVERAGE(G24:I24)</f>
        <v>0.16466666666666666</v>
      </c>
      <c r="H5" s="5">
        <f>AVERAGE(G25:I25)</f>
        <v>0.20799999999999999</v>
      </c>
      <c r="I5" s="5">
        <f>AVERAGE(G26:I26)</f>
        <v>0.14666666666666664</v>
      </c>
      <c r="J5" s="5">
        <f>AVERAGE(G27:I27)</f>
        <v>0.19766666666666666</v>
      </c>
      <c r="K5" s="43">
        <f>AVERAGE(G28:I28)</f>
        <v>0.43099999999999999</v>
      </c>
      <c r="L5" s="5">
        <f>AVERAGE(K24:M24)</f>
        <v>0.63166666666666671</v>
      </c>
      <c r="M5" s="5">
        <f>AVERAGE(K25:M25)</f>
        <v>0.64</v>
      </c>
      <c r="N5" s="5">
        <f>AVERAGE(K26:M26)</f>
        <v>0.57799999999999996</v>
      </c>
      <c r="O5" s="5">
        <f>AVERAGE(K27:M27)</f>
        <v>0.55866666666666676</v>
      </c>
      <c r="P5" s="5">
        <f>AVERAGE(K28:M28)</f>
        <v>0.61266666666666669</v>
      </c>
      <c r="Q5" s="24">
        <v>8.8999999999999996E-2</v>
      </c>
      <c r="R5" s="24">
        <v>8.8999999999999996E-2</v>
      </c>
      <c r="S5" s="53">
        <v>8.8999999999999996E-2</v>
      </c>
      <c r="T5" s="52">
        <f>AVERAGE(G5:J5)</f>
        <v>0.17924999999999999</v>
      </c>
      <c r="U5" s="5">
        <f>AVERAGE(L5:P5)</f>
        <v>0.60420000000000007</v>
      </c>
      <c r="V5" s="59">
        <f>AVERAGE(Q5:S5)</f>
        <v>8.900000000000001E-2</v>
      </c>
      <c r="W5" s="61">
        <f>_xlfn.STDEV.S(G5:J5)</f>
        <v>2.8519486515558343E-2</v>
      </c>
      <c r="X5" s="6">
        <f>_xlfn.STDEV.S(L5:P5)</f>
        <v>3.4883616020514076E-2</v>
      </c>
      <c r="Y5" s="62">
        <f>_xlfn.STDEV.S(Q5:S5)</f>
        <v>1.6996749443881478E-17</v>
      </c>
    </row>
    <row r="6" spans="1:25" ht="15" thickBot="1" x14ac:dyDescent="0.35">
      <c r="A6" s="4">
        <v>0.45833333333333298</v>
      </c>
      <c r="B6" s="16"/>
      <c r="C6" s="15"/>
      <c r="F6" s="46">
        <v>24</v>
      </c>
      <c r="G6" s="54">
        <f>AVERAGE(G36:I36)</f>
        <v>0.53666666666666674</v>
      </c>
      <c r="H6" s="55">
        <f>AVERAGE(G37:I37)</f>
        <v>0.49399999999999999</v>
      </c>
      <c r="I6" s="55">
        <f>AVERAGE(G38:I38)</f>
        <v>0.50766666666666671</v>
      </c>
      <c r="J6" s="55">
        <f>AVERAGE(G39:I39)</f>
        <v>0.51433333333333331</v>
      </c>
      <c r="K6" s="55">
        <f>AVERAGE(G40:I40)</f>
        <v>0.501</v>
      </c>
      <c r="L6" s="55">
        <f>AVERAGE(K36:M36)</f>
        <v>0.65533333333333343</v>
      </c>
      <c r="M6" s="55">
        <f>AVERAGE(K37:M37)</f>
        <v>0.72333333333333327</v>
      </c>
      <c r="N6" s="56">
        <f>AVERAGE(K38:M38)</f>
        <v>0.5043333333333333</v>
      </c>
      <c r="O6" s="56">
        <f>AVERAGE(K39:M39)</f>
        <v>0.45733333333333337</v>
      </c>
      <c r="P6" s="55">
        <f>AVERAGE(K40:M40)</f>
        <v>0.76766666666666661</v>
      </c>
      <c r="Q6" s="57">
        <v>9.4E-2</v>
      </c>
      <c r="R6" s="57">
        <v>9.0999999999999998E-2</v>
      </c>
      <c r="S6" s="58">
        <v>9.0999999999999998E-2</v>
      </c>
      <c r="T6" s="54">
        <f>AVERAGE(G6:K6)</f>
        <v>0.51073333333333337</v>
      </c>
      <c r="U6" s="55">
        <f>AVERAGE(L6:M6,P6)</f>
        <v>0.71544444444444444</v>
      </c>
      <c r="V6" s="60">
        <f>AVERAGE(Q6:S6)</f>
        <v>9.2000000000000012E-2</v>
      </c>
      <c r="W6" s="63">
        <f>_xlfn.STDEV.S(G6:K6)</f>
        <v>1.6352709595388527E-2</v>
      </c>
      <c r="X6" s="64">
        <f>_xlfn.STDEV.S(L6:M6,P6)</f>
        <v>5.6580653675707575E-2</v>
      </c>
      <c r="Y6" s="65">
        <f>_xlfn.STDEV.S(Q6:S6)</f>
        <v>1.7320508075688787E-3</v>
      </c>
    </row>
    <row r="7" spans="1:25" ht="14.4" customHeight="1" x14ac:dyDescent="0.3">
      <c r="A7" s="4">
        <v>0.5</v>
      </c>
      <c r="B7" s="16"/>
      <c r="C7" s="15"/>
    </row>
    <row r="8" spans="1:25" x14ac:dyDescent="0.3">
      <c r="A8" s="4">
        <v>0.54166666666666696</v>
      </c>
      <c r="B8" s="5" t="s">
        <v>12</v>
      </c>
      <c r="C8" s="15"/>
    </row>
    <row r="9" spans="1:25" x14ac:dyDescent="0.3">
      <c r="A9" s="4">
        <v>0.58333333333333304</v>
      </c>
      <c r="B9" s="9" t="s">
        <v>14</v>
      </c>
      <c r="C9" s="15"/>
      <c r="F9" s="15" t="s">
        <v>33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25" x14ac:dyDescent="0.3">
      <c r="A10" s="4">
        <v>0.625</v>
      </c>
      <c r="B10" s="7" t="s">
        <v>11</v>
      </c>
      <c r="C10" s="6"/>
      <c r="F10" s="32"/>
      <c r="G10" s="14" t="s">
        <v>30</v>
      </c>
      <c r="H10" s="14"/>
      <c r="I10" s="14"/>
      <c r="J10" s="32"/>
      <c r="K10" s="14" t="s">
        <v>31</v>
      </c>
      <c r="L10" s="14"/>
      <c r="M10" s="14"/>
      <c r="N10" s="32"/>
      <c r="O10" s="14" t="s">
        <v>32</v>
      </c>
      <c r="P10" s="14"/>
      <c r="Q10" s="14"/>
      <c r="R10" s="32"/>
    </row>
    <row r="11" spans="1:25" x14ac:dyDescent="0.3">
      <c r="A11" s="4">
        <v>0.66666666666666696</v>
      </c>
      <c r="B11" s="7" t="s">
        <v>11</v>
      </c>
      <c r="C11" s="5"/>
      <c r="F11" s="17"/>
      <c r="G11" s="31">
        <v>1</v>
      </c>
      <c r="H11" s="31">
        <v>2</v>
      </c>
      <c r="I11" s="31">
        <v>3</v>
      </c>
      <c r="J11" s="18">
        <v>4</v>
      </c>
      <c r="K11" s="31">
        <v>5</v>
      </c>
      <c r="L11" s="31">
        <v>6</v>
      </c>
      <c r="M11" s="31">
        <v>7</v>
      </c>
      <c r="N11" s="18">
        <v>8</v>
      </c>
      <c r="O11" s="31">
        <v>9</v>
      </c>
      <c r="P11" s="31">
        <v>10</v>
      </c>
      <c r="Q11" s="31">
        <v>11</v>
      </c>
      <c r="R11" s="18">
        <v>12</v>
      </c>
    </row>
    <row r="12" spans="1:25" x14ac:dyDescent="0.3">
      <c r="A12" s="4">
        <v>0.70833333333333304</v>
      </c>
      <c r="B12" s="7" t="s">
        <v>11</v>
      </c>
      <c r="C12" s="11"/>
      <c r="F12" s="18" t="s">
        <v>22</v>
      </c>
      <c r="G12" s="19">
        <v>0.124</v>
      </c>
      <c r="H12" s="20">
        <v>0.13200000000000001</v>
      </c>
      <c r="I12" s="19">
        <v>0.13</v>
      </c>
      <c r="J12" s="21"/>
      <c r="K12" s="22">
        <v>0.20799999999999999</v>
      </c>
      <c r="L12" s="23">
        <v>0.219</v>
      </c>
      <c r="M12" s="23">
        <v>0.21299999999999999</v>
      </c>
      <c r="N12" s="21"/>
      <c r="O12" s="24">
        <v>0.111</v>
      </c>
      <c r="P12" s="24">
        <v>0.113</v>
      </c>
      <c r="Q12" s="24">
        <v>0.107</v>
      </c>
      <c r="R12" s="21"/>
    </row>
    <row r="13" spans="1:25" x14ac:dyDescent="0.3">
      <c r="A13" s="4">
        <v>0.75</v>
      </c>
      <c r="B13" s="5" t="s">
        <v>15</v>
      </c>
      <c r="C13" s="11"/>
      <c r="F13" s="18" t="s">
        <v>23</v>
      </c>
      <c r="G13" s="25">
        <v>0.16300000000000001</v>
      </c>
      <c r="H13" s="26">
        <v>0.17</v>
      </c>
      <c r="I13" s="26">
        <v>0.16500000000000001</v>
      </c>
      <c r="J13" s="21"/>
      <c r="K13" s="27">
        <v>0.17499999999999999</v>
      </c>
      <c r="L13" s="25">
        <v>0.161</v>
      </c>
      <c r="M13" s="25">
        <v>0.158</v>
      </c>
      <c r="N13" s="21"/>
      <c r="O13" s="21"/>
      <c r="P13" s="21"/>
      <c r="Q13" s="21"/>
      <c r="R13" s="21"/>
    </row>
    <row r="14" spans="1:25" x14ac:dyDescent="0.3">
      <c r="A14" s="4">
        <v>0.79166666666666696</v>
      </c>
      <c r="B14" s="5"/>
      <c r="C14" s="6"/>
      <c r="F14" s="18" t="s">
        <v>24</v>
      </c>
      <c r="G14" s="20">
        <v>0.13800000000000001</v>
      </c>
      <c r="H14" s="28">
        <v>0.14299999999999999</v>
      </c>
      <c r="I14" s="20">
        <v>0.13900000000000001</v>
      </c>
      <c r="J14" s="21"/>
      <c r="K14" s="22">
        <v>0.20799999999999999</v>
      </c>
      <c r="L14" s="23">
        <v>0.219</v>
      </c>
      <c r="M14" s="22">
        <v>0.20799999999999999</v>
      </c>
      <c r="N14" s="21"/>
      <c r="O14" s="21"/>
      <c r="P14" s="21"/>
      <c r="Q14" s="21"/>
      <c r="R14" s="21"/>
    </row>
    <row r="15" spans="1:25" x14ac:dyDescent="0.3">
      <c r="A15" s="4">
        <v>0.83333333333333304</v>
      </c>
      <c r="B15" s="5" t="s">
        <v>17</v>
      </c>
      <c r="C15" s="11" t="s">
        <v>20</v>
      </c>
      <c r="F15" s="18" t="s">
        <v>25</v>
      </c>
      <c r="G15" s="20">
        <v>0.13200000000000001</v>
      </c>
      <c r="H15" s="28">
        <v>0.14299999999999999</v>
      </c>
      <c r="I15" s="28">
        <v>0.14000000000000001</v>
      </c>
      <c r="J15" s="21"/>
      <c r="K15" s="29">
        <v>0.187</v>
      </c>
      <c r="L15" s="30">
        <v>0.19700000000000001</v>
      </c>
      <c r="M15" s="30">
        <v>0.19800000000000001</v>
      </c>
      <c r="N15" s="21"/>
      <c r="O15" s="21"/>
      <c r="P15" s="21"/>
      <c r="Q15" s="21"/>
      <c r="R15" s="21"/>
    </row>
    <row r="16" spans="1:25" x14ac:dyDescent="0.3">
      <c r="A16" s="4">
        <v>0.875</v>
      </c>
      <c r="B16" s="5"/>
      <c r="C16" s="10"/>
      <c r="F16" s="18" t="s">
        <v>26</v>
      </c>
      <c r="G16" s="19">
        <v>0.126</v>
      </c>
      <c r="H16" s="20">
        <v>0.13400000000000001</v>
      </c>
      <c r="I16" s="19">
        <v>0.125</v>
      </c>
      <c r="J16" s="21"/>
      <c r="K16" s="29">
        <v>0.18099999999999999</v>
      </c>
      <c r="L16" s="29">
        <v>0.186</v>
      </c>
      <c r="M16" s="26">
        <v>0.16900000000000001</v>
      </c>
      <c r="N16" s="21"/>
      <c r="O16" s="21"/>
      <c r="P16" s="21"/>
      <c r="Q16" s="21"/>
      <c r="R16" s="21"/>
    </row>
    <row r="17" spans="1:18" x14ac:dyDescent="0.3">
      <c r="A17" s="4">
        <v>0.91666666666666696</v>
      </c>
      <c r="B17" s="5" t="s">
        <v>18</v>
      </c>
      <c r="C17" s="5"/>
      <c r="F17" s="18" t="s">
        <v>27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x14ac:dyDescent="0.3">
      <c r="A18" s="4">
        <v>0.95833333333333304</v>
      </c>
      <c r="B18" s="5"/>
      <c r="C18" s="5"/>
      <c r="F18" s="18" t="s">
        <v>28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x14ac:dyDescent="0.3">
      <c r="A19" s="4">
        <v>1</v>
      </c>
      <c r="B19" s="5"/>
      <c r="C19" s="5"/>
      <c r="F19" s="18" t="s">
        <v>29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x14ac:dyDescent="0.3">
      <c r="A20" s="4">
        <v>1.0416666666666701</v>
      </c>
      <c r="B20" s="5"/>
      <c r="C20" s="5"/>
    </row>
    <row r="21" spans="1:18" x14ac:dyDescent="0.3">
      <c r="A21" s="4">
        <v>1.0833333333333299</v>
      </c>
      <c r="B21" s="6"/>
      <c r="C21" s="6"/>
      <c r="F21" s="15" t="s">
        <v>34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x14ac:dyDescent="0.3">
      <c r="A22" s="4">
        <v>1.125</v>
      </c>
      <c r="B22" s="6"/>
      <c r="C22" s="6"/>
      <c r="F22" s="32"/>
      <c r="G22" s="14" t="s">
        <v>30</v>
      </c>
      <c r="H22" s="14"/>
      <c r="I22" s="14"/>
      <c r="J22" s="32"/>
      <c r="K22" s="14" t="s">
        <v>31</v>
      </c>
      <c r="L22" s="14"/>
      <c r="M22" s="14"/>
      <c r="N22" s="32"/>
      <c r="O22" s="14" t="s">
        <v>32</v>
      </c>
      <c r="P22" s="14"/>
      <c r="Q22" s="14"/>
      <c r="R22" s="32"/>
    </row>
    <row r="23" spans="1:18" x14ac:dyDescent="0.3">
      <c r="A23" s="4">
        <v>1.1666666666666701</v>
      </c>
      <c r="B23" s="6"/>
      <c r="C23" s="6"/>
      <c r="F23" s="17"/>
      <c r="G23" s="18">
        <v>1</v>
      </c>
      <c r="H23" s="18">
        <v>2</v>
      </c>
      <c r="I23" s="18">
        <v>3</v>
      </c>
      <c r="J23" s="18">
        <v>4</v>
      </c>
      <c r="K23" s="18">
        <v>5</v>
      </c>
      <c r="L23" s="18">
        <v>6</v>
      </c>
      <c r="M23" s="18">
        <v>7</v>
      </c>
      <c r="N23" s="18">
        <v>8</v>
      </c>
      <c r="O23" s="18">
        <v>9</v>
      </c>
      <c r="P23" s="18">
        <v>10</v>
      </c>
      <c r="Q23" s="18">
        <v>11</v>
      </c>
      <c r="R23" s="18">
        <v>12</v>
      </c>
    </row>
    <row r="24" spans="1:18" x14ac:dyDescent="0.3">
      <c r="A24" s="4">
        <v>1.2083333333333299</v>
      </c>
      <c r="B24" s="6"/>
      <c r="C24" s="5"/>
      <c r="F24" s="18" t="s">
        <v>22</v>
      </c>
      <c r="G24" s="33">
        <v>0.16400000000000001</v>
      </c>
      <c r="H24" s="33">
        <v>0.16400000000000001</v>
      </c>
      <c r="I24" s="33">
        <v>0.16600000000000001</v>
      </c>
      <c r="J24" s="21"/>
      <c r="K24" s="23">
        <v>0.64800000000000002</v>
      </c>
      <c r="L24" s="22">
        <v>0.60599999999999998</v>
      </c>
      <c r="M24" s="23">
        <v>0.64100000000000001</v>
      </c>
      <c r="N24" s="21"/>
      <c r="O24" s="24">
        <v>8.8999999999999996E-2</v>
      </c>
      <c r="P24" s="24">
        <v>8.8999999999999996E-2</v>
      </c>
      <c r="Q24" s="24">
        <v>8.8999999999999996E-2</v>
      </c>
      <c r="R24" s="21"/>
    </row>
    <row r="25" spans="1:18" x14ac:dyDescent="0.3">
      <c r="A25" s="4">
        <v>1.25</v>
      </c>
      <c r="B25" s="6"/>
      <c r="C25" s="6"/>
      <c r="F25" s="18" t="s">
        <v>23</v>
      </c>
      <c r="G25" s="19">
        <v>0.20599999999999999</v>
      </c>
      <c r="H25" s="20">
        <v>0.21</v>
      </c>
      <c r="I25" s="19">
        <v>0.20799999999999999</v>
      </c>
      <c r="J25" s="21"/>
      <c r="K25" s="23">
        <v>0.65400000000000003</v>
      </c>
      <c r="L25" s="23">
        <v>0.61899999999999999</v>
      </c>
      <c r="M25" s="23">
        <v>0.64700000000000002</v>
      </c>
      <c r="N25" s="21"/>
      <c r="O25" s="21"/>
      <c r="P25" s="21"/>
      <c r="Q25" s="21"/>
      <c r="R25" s="21"/>
    </row>
    <row r="26" spans="1:18" x14ac:dyDescent="0.3">
      <c r="F26" s="18" t="s">
        <v>24</v>
      </c>
      <c r="G26" s="33">
        <v>0.14699999999999999</v>
      </c>
      <c r="H26" s="33">
        <v>0.14599999999999999</v>
      </c>
      <c r="I26" s="33">
        <v>0.14699999999999999</v>
      </c>
      <c r="J26" s="21"/>
      <c r="K26" s="22">
        <v>0.57499999999999996</v>
      </c>
      <c r="L26" s="22">
        <v>0.58599999999999997</v>
      </c>
      <c r="M26" s="22">
        <v>0.57299999999999995</v>
      </c>
      <c r="N26" s="21"/>
      <c r="O26" s="21"/>
      <c r="P26" s="21"/>
      <c r="Q26" s="21"/>
      <c r="R26" s="21"/>
    </row>
    <row r="27" spans="1:18" x14ac:dyDescent="0.3">
      <c r="F27" s="18" t="s">
        <v>25</v>
      </c>
      <c r="G27" s="19">
        <v>0.19800000000000001</v>
      </c>
      <c r="H27" s="19">
        <v>0.19600000000000001</v>
      </c>
      <c r="I27" s="19">
        <v>0.19900000000000001</v>
      </c>
      <c r="J27" s="21"/>
      <c r="K27" s="30">
        <v>0.54900000000000004</v>
      </c>
      <c r="L27" s="30">
        <v>0.55900000000000005</v>
      </c>
      <c r="M27" s="30">
        <v>0.56799999999999995</v>
      </c>
      <c r="N27" s="21"/>
      <c r="O27" s="21"/>
      <c r="P27" s="21"/>
      <c r="Q27" s="21"/>
      <c r="R27" s="21"/>
    </row>
    <row r="28" spans="1:18" x14ac:dyDescent="0.3">
      <c r="F28" s="18" t="s">
        <v>26</v>
      </c>
      <c r="G28" s="27">
        <v>0.438</v>
      </c>
      <c r="H28" s="27">
        <v>0.439</v>
      </c>
      <c r="I28" s="27">
        <v>0.41599999999999998</v>
      </c>
      <c r="J28" s="21"/>
      <c r="K28" s="22">
        <v>0.60699999999999998</v>
      </c>
      <c r="L28" s="23">
        <v>0.623</v>
      </c>
      <c r="M28" s="22">
        <v>0.60799999999999998</v>
      </c>
      <c r="N28" s="21"/>
      <c r="O28" s="21"/>
      <c r="P28" s="21"/>
      <c r="Q28" s="21"/>
      <c r="R28" s="21"/>
    </row>
    <row r="29" spans="1:18" x14ac:dyDescent="0.3">
      <c r="F29" s="18" t="s">
        <v>27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x14ac:dyDescent="0.3">
      <c r="F30" s="18" t="s">
        <v>28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x14ac:dyDescent="0.3">
      <c r="F31" s="18" t="s">
        <v>29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3" spans="6:18" x14ac:dyDescent="0.3">
      <c r="F33" s="15" t="s">
        <v>35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6:18" x14ac:dyDescent="0.3">
      <c r="F34" s="32"/>
      <c r="G34" s="14" t="s">
        <v>30</v>
      </c>
      <c r="H34" s="14"/>
      <c r="I34" s="14"/>
      <c r="J34" s="32"/>
      <c r="K34" s="14" t="s">
        <v>31</v>
      </c>
      <c r="L34" s="14"/>
      <c r="M34" s="14"/>
      <c r="N34" s="32"/>
      <c r="O34" s="14" t="s">
        <v>32</v>
      </c>
      <c r="P34" s="14"/>
      <c r="Q34" s="14"/>
      <c r="R34" s="32"/>
    </row>
    <row r="35" spans="6:18" x14ac:dyDescent="0.3">
      <c r="F35" s="17"/>
      <c r="G35" s="34">
        <v>1</v>
      </c>
      <c r="H35" s="34">
        <v>2</v>
      </c>
      <c r="I35" s="34">
        <v>3</v>
      </c>
      <c r="J35" s="34">
        <v>4</v>
      </c>
      <c r="K35" s="34">
        <v>5</v>
      </c>
      <c r="L35" s="34">
        <v>6</v>
      </c>
      <c r="M35" s="34">
        <v>7</v>
      </c>
      <c r="N35" s="34">
        <v>8</v>
      </c>
      <c r="O35" s="34">
        <v>9</v>
      </c>
      <c r="P35" s="34">
        <v>10</v>
      </c>
      <c r="Q35" s="34">
        <v>11</v>
      </c>
      <c r="R35" s="34">
        <v>12</v>
      </c>
    </row>
    <row r="36" spans="6:18" x14ac:dyDescent="0.3">
      <c r="F36" s="34" t="s">
        <v>22</v>
      </c>
      <c r="G36" s="35">
        <v>0.54</v>
      </c>
      <c r="H36" s="36">
        <v>0.52600000000000002</v>
      </c>
      <c r="I36" s="35">
        <v>0.54400000000000004</v>
      </c>
      <c r="J36" s="37"/>
      <c r="K36" s="38">
        <v>0.65700000000000003</v>
      </c>
      <c r="L36" s="38">
        <v>0.66500000000000004</v>
      </c>
      <c r="M36" s="38">
        <v>0.64400000000000002</v>
      </c>
      <c r="N36" s="37"/>
      <c r="O36" s="39">
        <v>9.4E-2</v>
      </c>
      <c r="P36" s="39">
        <v>9.0999999999999998E-2</v>
      </c>
      <c r="Q36" s="39">
        <v>9.0999999999999998E-2</v>
      </c>
      <c r="R36" s="37"/>
    </row>
    <row r="37" spans="6:18" x14ac:dyDescent="0.3">
      <c r="F37" s="34" t="s">
        <v>23</v>
      </c>
      <c r="G37" s="36">
        <v>0.50600000000000001</v>
      </c>
      <c r="H37" s="36">
        <v>0.48199999999999998</v>
      </c>
      <c r="I37" s="36">
        <v>0.49399999999999999</v>
      </c>
      <c r="J37" s="37"/>
      <c r="K37" s="40">
        <v>0.70899999999999996</v>
      </c>
      <c r="L37" s="41">
        <v>0.751</v>
      </c>
      <c r="M37" s="40">
        <v>0.71</v>
      </c>
      <c r="N37" s="37"/>
      <c r="O37" s="37"/>
      <c r="P37" s="37"/>
      <c r="Q37" s="37"/>
      <c r="R37" s="37"/>
    </row>
    <row r="38" spans="6:18" x14ac:dyDescent="0.3">
      <c r="F38" s="34" t="s">
        <v>24</v>
      </c>
      <c r="G38" s="36">
        <v>0.50900000000000001</v>
      </c>
      <c r="H38" s="36">
        <v>0.51</v>
      </c>
      <c r="I38" s="36">
        <v>0.504</v>
      </c>
      <c r="J38" s="37"/>
      <c r="K38" s="36">
        <v>0.497</v>
      </c>
      <c r="L38" s="36">
        <v>0.51900000000000002</v>
      </c>
      <c r="M38" s="36">
        <v>0.497</v>
      </c>
      <c r="N38" s="37"/>
      <c r="O38" s="37"/>
      <c r="P38" s="37"/>
      <c r="Q38" s="37"/>
      <c r="R38" s="37"/>
    </row>
    <row r="39" spans="6:18" x14ac:dyDescent="0.3">
      <c r="F39" s="34" t="s">
        <v>25</v>
      </c>
      <c r="G39" s="36">
        <v>0.51300000000000001</v>
      </c>
      <c r="H39" s="36">
        <v>0.52</v>
      </c>
      <c r="I39" s="36">
        <v>0.51</v>
      </c>
      <c r="J39" s="37"/>
      <c r="K39" s="42">
        <v>0.45600000000000002</v>
      </c>
      <c r="L39" s="42">
        <v>0.46300000000000002</v>
      </c>
      <c r="M39" s="42">
        <v>0.45300000000000001</v>
      </c>
      <c r="N39" s="37"/>
      <c r="O39" s="37"/>
      <c r="P39" s="37"/>
      <c r="Q39" s="37"/>
      <c r="R39" s="37"/>
    </row>
    <row r="40" spans="6:18" x14ac:dyDescent="0.3">
      <c r="F40" s="34" t="s">
        <v>26</v>
      </c>
      <c r="G40" s="36">
        <v>0.48899999999999999</v>
      </c>
      <c r="H40" s="36">
        <v>0.50900000000000001</v>
      </c>
      <c r="I40" s="36">
        <v>0.505</v>
      </c>
      <c r="J40" s="37"/>
      <c r="K40" s="41">
        <v>0.76200000000000001</v>
      </c>
      <c r="L40" s="41">
        <v>0.77400000000000002</v>
      </c>
      <c r="M40" s="41">
        <v>0.76700000000000002</v>
      </c>
      <c r="N40" s="37"/>
      <c r="O40" s="37"/>
      <c r="P40" s="37"/>
      <c r="Q40" s="37"/>
      <c r="R40" s="37"/>
    </row>
    <row r="41" spans="6:18" x14ac:dyDescent="0.3">
      <c r="F41" s="34" t="s">
        <v>27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6:18" x14ac:dyDescent="0.3">
      <c r="F42" s="34" t="s">
        <v>28</v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spans="6:18" x14ac:dyDescent="0.3">
      <c r="F43" s="34" t="s">
        <v>29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</sheetData>
  <mergeCells count="20">
    <mergeCell ref="G34:I34"/>
    <mergeCell ref="K34:M34"/>
    <mergeCell ref="O34:Q34"/>
    <mergeCell ref="F21:R21"/>
    <mergeCell ref="G22:I22"/>
    <mergeCell ref="K22:M22"/>
    <mergeCell ref="O22:Q22"/>
    <mergeCell ref="F33:R33"/>
    <mergeCell ref="T2:V2"/>
    <mergeCell ref="W2:Y2"/>
    <mergeCell ref="G1:P1"/>
    <mergeCell ref="G10:I10"/>
    <mergeCell ref="K10:M10"/>
    <mergeCell ref="O10:Q10"/>
    <mergeCell ref="F9:R9"/>
    <mergeCell ref="B4:B7"/>
    <mergeCell ref="C5:C9"/>
    <mergeCell ref="G2:K2"/>
    <mergeCell ref="L2:P2"/>
    <mergeCell ref="Q2:S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אופק רייניש</dc:creator>
  <cp:lastModifiedBy>אופק רייניש</cp:lastModifiedBy>
  <dcterms:created xsi:type="dcterms:W3CDTF">2025-12-07T11:26:01Z</dcterms:created>
  <dcterms:modified xsi:type="dcterms:W3CDTF">2025-12-10T13:37:16Z</dcterms:modified>
</cp:coreProperties>
</file>